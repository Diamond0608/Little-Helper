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Little Helper\"/>
    </mc:Choice>
  </mc:AlternateContent>
  <xr:revisionPtr revIDLastSave="0" documentId="8_{E13F5BCF-B1EE-4157-ADAA-1DD13AE0741F}" xr6:coauthVersionLast="47" xr6:coauthVersionMax="47" xr10:uidLastSave="{00000000-0000-0000-0000-000000000000}"/>
  <bookViews>
    <workbookView xWindow="-108" yWindow="-108" windowWidth="23256" windowHeight="12576" xr2:uid="{D37D0992-C5D1-4078-B4BA-503DD28A5135}"/>
  </bookViews>
  <sheets>
    <sheet name="LittleHelperBO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1" l="1"/>
  <c r="F15" i="1"/>
  <c r="F14" i="1"/>
  <c r="F46" i="1"/>
  <c r="F47" i="1"/>
  <c r="F44" i="1"/>
  <c r="F45" i="1"/>
  <c r="F48" i="1"/>
  <c r="F34" i="1"/>
  <c r="F5" i="1"/>
  <c r="F6" i="1"/>
  <c r="F7" i="1"/>
  <c r="F8" i="1"/>
  <c r="F9" i="1"/>
  <c r="F10" i="1"/>
  <c r="F11" i="1"/>
  <c r="F12" i="1"/>
  <c r="F13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6" i="1"/>
  <c r="F37" i="1"/>
  <c r="F38" i="1"/>
  <c r="F39" i="1"/>
  <c r="F40" i="1"/>
  <c r="F41" i="1"/>
  <c r="F42" i="1"/>
  <c r="F43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E68" i="1" l="1"/>
</calcChain>
</file>

<file path=xl/sharedStrings.xml><?xml version="1.0" encoding="utf-8"?>
<sst xmlns="http://schemas.openxmlformats.org/spreadsheetml/2006/main" count="113" uniqueCount="111">
  <si>
    <t>BILL OF MATERIALS (BOM) for Little Helper:</t>
  </si>
  <si>
    <t>Serial Number</t>
  </si>
  <si>
    <t>Item Name</t>
  </si>
  <si>
    <t>Price Per Unit</t>
  </si>
  <si>
    <t>Qty</t>
  </si>
  <si>
    <t>Total Price (With tax)</t>
  </si>
  <si>
    <t>Notes:</t>
  </si>
  <si>
    <t>Chassis Top Plate</t>
  </si>
  <si>
    <t>Chassis Bottom Plate</t>
  </si>
  <si>
    <t>Guide Rails</t>
  </si>
  <si>
    <t>Side Panels</t>
  </si>
  <si>
    <t>Front Panel</t>
  </si>
  <si>
    <t>Back Panel</t>
  </si>
  <si>
    <t>3S 11.1V 2200 mAh Battery</t>
  </si>
  <si>
    <t>Buzzer</t>
  </si>
  <si>
    <t>Johnson Grade A 1000RPM Motors DC</t>
  </si>
  <si>
    <t>RC522 RFID reader/writer</t>
  </si>
  <si>
    <t>MDD10A_REV2.0_CYTRON</t>
  </si>
  <si>
    <t>4*4_Matrix_KeyPad</t>
  </si>
  <si>
    <t>HC-SR04 Ultrasonic Sensor</t>
  </si>
  <si>
    <t>I2C_LCD_ADAPTOR</t>
  </si>
  <si>
    <t>LCD16*2</t>
  </si>
  <si>
    <t>CHASSIS COMPONENTS:</t>
  </si>
  <si>
    <t>ELECTRONICS COMPONENTS:</t>
  </si>
  <si>
    <t>MISCELLANEOUS COMPONENTS:</t>
  </si>
  <si>
    <t>Tyre 20mm*100mm</t>
  </si>
  <si>
    <t>ESP32 NODEMCU XXSR69</t>
  </si>
  <si>
    <t xml:space="preserve">ESP8266 NODEMCU 12-E </t>
  </si>
  <si>
    <t>4.7 kohm resistor</t>
  </si>
  <si>
    <t>LED Light Red</t>
  </si>
  <si>
    <t>SW_SPST (Rocker Switch)</t>
  </si>
  <si>
    <t>A3 Box For Books</t>
  </si>
  <si>
    <t>Screwdriver Phillips Head</t>
  </si>
  <si>
    <t>(Not calculated into cost)</t>
  </si>
  <si>
    <t>Allen Key Set</t>
  </si>
  <si>
    <t>Soldering Iron</t>
  </si>
  <si>
    <t>Drill (Should work on plastic)</t>
  </si>
  <si>
    <t>3D printer/CNC/Woodworking tools</t>
  </si>
  <si>
    <t>Arduino IDE</t>
  </si>
  <si>
    <t>SUGGESTED TOOLS (INCLUDING SOFTWARE):</t>
  </si>
  <si>
    <t>Modules specified in code</t>
  </si>
  <si>
    <t>Some 3D CAD software</t>
  </si>
  <si>
    <t>Total Price :</t>
  </si>
  <si>
    <t>INR</t>
  </si>
  <si>
    <t>Only 8 are needed but can only be bought in packs of 10</t>
  </si>
  <si>
    <t>Use good quality wires as they don't come with the component (mentioned)</t>
  </si>
  <si>
    <t>Item Description/Link</t>
  </si>
  <si>
    <t>Wires for switch SafeConnect Nylon T</t>
  </si>
  <si>
    <t>LM2596 Buck Converter 11.1-3.3</t>
  </si>
  <si>
    <t>Any LCD screen with 16 pins will do, not a necessary component you can use an app/serial monitor for outputs as well.</t>
  </si>
  <si>
    <t>I've quoted a price for 3D printing, it can be CNCd as well / woodworked. Or made out of foamboard (be careful may not be</t>
  </si>
  <si>
    <t>strong enough to withstand the torque.)</t>
  </si>
  <si>
    <t>Can use a higher capacity battery for a longer life.</t>
  </si>
  <si>
    <t>Buy a passive buzzer instead if you want to be able to change the tones.</t>
  </si>
  <si>
    <t>Can change motors but change the wheel to make sure shafts match.</t>
  </si>
  <si>
    <t>Only use if you also want to restrict access during operation like me.</t>
  </si>
  <si>
    <t>Only use if you also want to restrict access during operation like me.Or for an input like class and section for autonomous.</t>
  </si>
  <si>
    <t>This is the BOM for the V1 of the file, and as such it does not have autonomous capabilites. The parts listed here can be customised to your preference.</t>
  </si>
  <si>
    <t>Can use another version just change the wiring and code.</t>
  </si>
  <si>
    <t>If changing this make sure the current draw is handalable(the 1000RPM motors will fry an LN298 motor driver).</t>
  </si>
  <si>
    <t>Can be removed if you don't want it, I've used it for emergency stopping since it will be run in a school.</t>
  </si>
  <si>
    <t>Can also get an LCD screen with this integrated.</t>
  </si>
  <si>
    <t>DO NOT FORGET. YOU WILL FRY YOUR 5/3.3V COMPONENTS.</t>
  </si>
  <si>
    <t>For safety :0</t>
  </si>
  <si>
    <t>This is a link for 4 tyres, DO NOT ORDER 4 SETS OF TYRES.</t>
  </si>
  <si>
    <t>Can remove this if no need of transport, can also customise the box.</t>
  </si>
  <si>
    <t>M3 Screws 10mm</t>
  </si>
  <si>
    <t>M5*35mm Hex Head Bolt</t>
  </si>
  <si>
    <t>M5 Hex Nut</t>
  </si>
  <si>
    <t>M3 Screws 4mm</t>
  </si>
  <si>
    <t>M3 Hex Nut</t>
  </si>
  <si>
    <t>M3*30mm Screw</t>
  </si>
  <si>
    <t>M3*25mm Screw</t>
  </si>
  <si>
    <t>M5*16mm</t>
  </si>
  <si>
    <t>Recommended to just get a screw kit/set. The screws are also purchasable at a local hardware shop instead of online.</t>
  </si>
  <si>
    <t>If using nuts, nylon is good since it will be a very tight lock, however, the nut gets worn and less effective with each use.</t>
  </si>
  <si>
    <t>Use self tapping screws if you don't have a threaded hole.</t>
  </si>
  <si>
    <t>As per your convenience choose whatever tools you require.</t>
  </si>
  <si>
    <t>Wire strippers and cutters</t>
  </si>
  <si>
    <t>Battery Holder</t>
  </si>
  <si>
    <r>
      <t xml:space="preserve">Exact cost for 3D printing would depend on many factors, I've provided an </t>
    </r>
    <r>
      <rPr>
        <b/>
        <sz val="11"/>
        <color theme="1"/>
        <rFont val="Aptos Narrow"/>
        <family val="2"/>
        <scheme val="minor"/>
      </rPr>
      <t xml:space="preserve">estimate </t>
    </r>
    <r>
      <rPr>
        <sz val="11"/>
        <color theme="1"/>
        <rFont val="Aptos Narrow"/>
        <family val="2"/>
        <scheme val="minor"/>
      </rPr>
      <t>from printing legion (Hack Club).</t>
    </r>
  </si>
  <si>
    <t>TOTAL:</t>
  </si>
  <si>
    <t>https://robu.in/product/pro-range-18650-li-ion-2200mah-3s-11-1v-10c-3s1p-with-jst-xh-female-t-connector-female/</t>
  </si>
  <si>
    <t>https://robocraze.com/products/3-volts-buzzer-small?_pos=3&amp;_sid=2ff08fb82&amp;_ss=r</t>
  </si>
  <si>
    <t>https://robocraze.com/products/3mm-red-led-pack-of-10?_pos=1&amp;_sid=30256fbbe&amp;_ss=r</t>
  </si>
  <si>
    <t>https://robocraze.com/products/johnson-dc-geared-motor-12v-1000-rpm-grade-a</t>
  </si>
  <si>
    <t>https://robocraze.com/products/4-7k-resistor-pack-of-10?_pos=4&amp;_sid=6e7182c4c&amp;_ss=r</t>
  </si>
  <si>
    <t>https://robocraze.com/products/rfid-rc522-mfrc?_pos=1&amp;_psq=rfid+rc&amp;_ss=e&amp;_v=1.0</t>
  </si>
  <si>
    <t>https://robocraze.com/products/rocker-switch-6a-250v-spdt-3-pin-red-led?_pos=3&amp;_sid=4e117ee12&amp;_ss=r</t>
  </si>
  <si>
    <t>https://robocraze.com/products/nodemcu-esp8266-amica-cp2102-driver?_pos=3&amp;_sid=32cb70c9e&amp;_ss=r</t>
  </si>
  <si>
    <t>https://robocraze.com/products/esp32-development-board?_pos=1&amp;_sid=abb9eb10e&amp;_ss=r</t>
  </si>
  <si>
    <t>https://robocraze.com/products/cytron-10a-5v-30v-dc-motor-driver-2-channels</t>
  </si>
  <si>
    <t>https://robocraze.com/products/4x4-membrane-keypad?_pos=1&amp;_sid=1b5f670d7&amp;_ss=r</t>
  </si>
  <si>
    <t>https://robocraze.com/products/hc-sr-04-ultrasonic-sensor?_pos=1&amp;_sid=cae36d341&amp;_ss=r</t>
  </si>
  <si>
    <t>https://robocraze.com/products/16x2-lcd-i2c-interface-adapter?_pos=1&amp;_psq=I2C&amp;_ss=e&amp;_v=1.0</t>
  </si>
  <si>
    <t>https://robocraze.com/products/16x2-lcd-module-green?_pos=2&amp;_sid=d7554cae1&amp;_ss=r</t>
  </si>
  <si>
    <t>https://robocraze.com/products/lm2596-dc-dc-step-down-buck-module-with-display?_pos=4&amp;_sid=535535c18&amp;_ss=r</t>
  </si>
  <si>
    <t>https://robu.in/product/safeconnect-nylon-t-connector-pair-with-jst-male-in-line-power-adapter-cable/?gad_source=1&amp;gad_campaignid=17427802559&amp;gclid=CjwKCAjwxb7RBhA5EiwAQ-AAdO8wb09wEH7zHuqZmd7GPv1i04uDU7X7ZQTAGzEaY5BqXRVoo4HG7hoCg64QAvD_BwE</t>
  </si>
  <si>
    <t>https://robocraze.com/products/10-x-2-cm-gear-motor-robot-wheel-tyres-for-6-mm-shaft-geared-dc-motor-4-pieces?_pos=1&amp;_sid=0195552e9&amp;_ss=r</t>
  </si>
  <si>
    <t>https://amzn.in/d/0fPFYW2t</t>
  </si>
  <si>
    <t>https://onlyscrews.in/products/m3-x-10mm-hex-allen-csk-high-tensile10-9-black-oxide-screw-dia-3mm-length-10mm</t>
  </si>
  <si>
    <t>https://onlyscrews.in/products/m5-x-30mm-hex-allen-csk-high-tensile10-9-black-oxide-screw-dia-5mm-length-30mm-1</t>
  </si>
  <si>
    <t>https://onlyscrews.in/products/m5-nyloc-nuts-mild-steel-with-zinc-plating-dia-5mm</t>
  </si>
  <si>
    <t>https://onlyscrews.in/products/m3-x-8mm-hex-allen-socket-head-high-tensile12-9-black-oxide-screw-dia-3mm-length-8mm</t>
  </si>
  <si>
    <t>https://onlyscrews.in/products/m3-nyloc-nuts-mild-steel-with-zinc-coating-dia-3mm</t>
  </si>
  <si>
    <t>https://onlyscrews.in/products/m3-x-30mm-hex-allen-socket-head-ss-304-screw-dia-3mm-length-30mm?_pos=1&amp;_psq=m3*30mm&amp;_ss=e&amp;_v=1.0</t>
  </si>
  <si>
    <t>https://onlyscrews.in/products/m3-x-25mm-phillips-csk-ss-304-screw</t>
  </si>
  <si>
    <t>https://onlyscrews.in/products/phillips-csk-m5-x-16mm-pack-of-20</t>
  </si>
  <si>
    <t>PS3 Controller</t>
  </si>
  <si>
    <t>Can also use a PS5 controller/phone/anything you want.</t>
  </si>
  <si>
    <t>https://www.amazon.in/GAMENOPHOBIA-Controller-Playstation-professional-PlayStation3/dp/B09J1BYSQB/ref=pd_sbs_d_sccl_1_2/525-8337356-0101367?pd_rd_w=EDf51&amp;content-id=amzn1.sym.d1406b44-aa69-47e4-9270-f613e12d52dc&amp;pf_rd_p=d1406b44-aa69-47e4-9270-f613e12d52dc&amp;pf_rd_r=Z9BE02YRQTXWKGG33TZZ&amp;pd_rd_wg=Onaju&amp;pd_rd_r=8ce99457-dd1a-4092-96c2-04f0e5b9227c&amp;pd_rd_i=B09J1BYSQB&amp;psc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</si>
</sst>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22"/>
      <color theme="1"/>
      <name val="Aptos Display"/>
      <family val="2"/>
    </font>
    <font>
      <u/>
      <sz val="11"/>
      <color theme="10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0" fontId="2" fillId="2" borderId="1" applyNumberFormat="0" applyAlignment="0" applyProtection="0"/>
    <xf numFmtId="0" fontId="3" fillId="3" borderId="2" applyNumberFormat="0" applyAlignment="0" applyProtection="0"/>
    <xf numFmtId="0" fontId="1" fillId="4" borderId="3" applyNumberFormat="0" applyFont="0" applyAlignment="0" applyProtection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4" fillId="0" borderId="0" xfId="0" applyFont="1"/>
    <xf numFmtId="0" fontId="2" fillId="2" borderId="1" xfId="1"/>
    <xf numFmtId="0" fontId="0" fillId="4" borderId="3" xfId="3" applyFont="1"/>
    <xf numFmtId="0" fontId="6" fillId="0" borderId="0" xfId="0" applyFont="1"/>
    <xf numFmtId="0" fontId="3" fillId="3" borderId="2" xfId="2"/>
    <xf numFmtId="0" fontId="5" fillId="0" borderId="0" xfId="4"/>
    <xf numFmtId="0" fontId="0" fillId="0" borderId="0" xfId="0" applyNumberFormat="1"/>
  </cellXfs>
  <cellStyles count="5">
    <cellStyle name="Check Cell" xfId="2" builtinId="23"/>
    <cellStyle name="Hyperlink" xfId="4" builtinId="8"/>
    <cellStyle name="Input" xfId="1" builtinId="20"/>
    <cellStyle name="Normal" xfId="0" builtinId="0"/>
    <cellStyle name="Note" xfId="3" builtinId="1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687371-FDD4-4E51-9D01-B1CFDECDA006}" name="Table1" displayName="Table1" ref="A4:G61" totalsRowShown="0">
  <autoFilter ref="A4:G61" xr:uid="{0F687371-FDD4-4E51-9D01-B1CFDECDA006}"/>
  <tableColumns count="7">
    <tableColumn id="1" xr3:uid="{B73F2FA2-F042-456A-8652-FA65B3993E6B}" name="Serial Number"/>
    <tableColumn id="2" xr3:uid="{2FDE59B9-B27B-4BD0-B6BB-6F3EC247E93E}" name="Item Name"/>
    <tableColumn id="3" xr3:uid="{D551A2A0-E92F-451E-AD1D-2EE0EE24C6D2}" name="Item Description/Link"/>
    <tableColumn id="4" xr3:uid="{74866D43-D38C-41F4-B410-B2A942A51B63}" name="Price Per Unit"/>
    <tableColumn id="5" xr3:uid="{8023A45C-7610-480E-A2EB-34392F7C0E44}" name="Qty"/>
    <tableColumn id="6" xr3:uid="{9DF24788-BD92-4323-ABDE-8EF7258095A2}" name="Total Price (With tax)" dataDxfId="0">
      <calculatedColumnFormula>Table1[[#This Row],[Price Per Unit]]*Table1[[#This Row],[Qty]]</calculatedColumnFormula>
    </tableColumn>
    <tableColumn id="7" xr3:uid="{262A2156-9D7E-4BC6-88FF-8F7CF39B0C5B}" name="Notes: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obocraze.com/products/3mm-red-led-pack-of-10?_pos=1&amp;_sid=30256fbbe&amp;_ss=r" TargetMode="External"/><Relationship Id="rId13" Type="http://schemas.openxmlformats.org/officeDocument/2006/relationships/hyperlink" Target="https://robocraze.com/products/nodemcu-esp8266-amica-cp2102-driver?_pos=3&amp;_sid=32cb70c9e&amp;_ss=r" TargetMode="External"/><Relationship Id="rId18" Type="http://schemas.openxmlformats.org/officeDocument/2006/relationships/hyperlink" Target="https://robocraze.com/products/16x2-lcd-i2c-interface-adapter?_pos=1&amp;_psq=I2C&amp;_ss=e&amp;_v=1.0" TargetMode="External"/><Relationship Id="rId26" Type="http://schemas.openxmlformats.org/officeDocument/2006/relationships/hyperlink" Target="https://onlyscrews.in/products/m3-nyloc-nuts-mild-steel-with-zinc-coating-dia-3mm" TargetMode="External"/><Relationship Id="rId3" Type="http://schemas.openxmlformats.org/officeDocument/2006/relationships/hyperlink" Target="https://robu.in/product/safeconnect-nylon-t-connector-pair-with-jst-male-in-line-power-adapter-cable/?gad_source=1&amp;gad_campaignid=17427802559&amp;gclid=CjwKCAjwxb7RBhA5EiwAQ-AAdO8wb09wEH7zHuqZmd7GPv1i04uDU7X7ZQTAGzEaY5BqXRVoo4HG7hoCg64QAvD_BwE" TargetMode="External"/><Relationship Id="rId21" Type="http://schemas.openxmlformats.org/officeDocument/2006/relationships/hyperlink" Target="https://robocraze.com/products/10-x-2-cm-gear-motor-robot-wheel-tyres-for-6-mm-shaft-geared-dc-motor-4-pieces?_pos=1&amp;_sid=0195552e9&amp;_ss=r" TargetMode="External"/><Relationship Id="rId7" Type="http://schemas.openxmlformats.org/officeDocument/2006/relationships/hyperlink" Target="https://robocraze.com/products/3-volts-buzzer-small?_pos=3&amp;_sid=2ff08fb82&amp;_ss=r" TargetMode="External"/><Relationship Id="rId12" Type="http://schemas.openxmlformats.org/officeDocument/2006/relationships/hyperlink" Target="https://robocraze.com/products/rocker-switch-6a-250v-spdt-3-pin-red-led?_pos=3&amp;_sid=4e117ee12&amp;_ss=r" TargetMode="External"/><Relationship Id="rId17" Type="http://schemas.openxmlformats.org/officeDocument/2006/relationships/hyperlink" Target="https://robocraze.com/products/hc-sr-04-ultrasonic-sensor?_pos=1&amp;_sid=cae36d341&amp;_ss=r" TargetMode="External"/><Relationship Id="rId25" Type="http://schemas.openxmlformats.org/officeDocument/2006/relationships/hyperlink" Target="https://onlyscrews.in/products/m3-x-8mm-hex-allen-socket-head-high-tensile12-9-black-oxide-screw-dia-3mm-length-8mm" TargetMode="External"/><Relationship Id="rId2" Type="http://schemas.openxmlformats.org/officeDocument/2006/relationships/hyperlink" Target="https://robu.in/product/safeconnect-nylon-t-connector-pair-with-jst-male-in-line-power-adapter-cable/?gad_source=1&amp;gad_campaignid=17427802559&amp;gclid=CjwKCAjwxb7RBhA5EiwAQ-AAdO8wb09wEH7zHuqZmd7GPv1i04uDU7X7ZQTAGzEaY5BqXRVoo4HG7hoCg64QAvD_BwE" TargetMode="External"/><Relationship Id="rId16" Type="http://schemas.openxmlformats.org/officeDocument/2006/relationships/hyperlink" Target="https://robocraze.com/products/4x4-membrane-keypad?_pos=1&amp;_sid=1b5f670d7&amp;_ss=r" TargetMode="External"/><Relationship Id="rId20" Type="http://schemas.openxmlformats.org/officeDocument/2006/relationships/hyperlink" Target="https://robocraze.com/products/lm2596-dc-dc-step-down-buck-module-with-display?_pos=4&amp;_sid=535535c18&amp;_ss=r" TargetMode="External"/><Relationship Id="rId29" Type="http://schemas.openxmlformats.org/officeDocument/2006/relationships/hyperlink" Target="https://onlyscrews.in/products/phillips-csk-m5-x-16mm-pack-of-20" TargetMode="External"/><Relationship Id="rId1" Type="http://schemas.openxmlformats.org/officeDocument/2006/relationships/hyperlink" Target="https://robu.in/product/safeconnect-nylon-t-connector-pair-with-jst-male-in-line-power-adapter-cable/?gad_source=1&amp;gad_campaignid=17427802559&amp;gclid=CjwKCAjwxb7RBhA5EiwAQ-AAdO8wb09wEH7zHuqZmd7GPv1i04uDU7X7ZQTAGzEaY5BqXRVoo4HG7hoCg64QAvD_BwE" TargetMode="External"/><Relationship Id="rId6" Type="http://schemas.openxmlformats.org/officeDocument/2006/relationships/hyperlink" Target="https://robu.in/product/pro-range-18650-li-ion-2200mah-3s-11-1v-10c-3s1p-with-jst-xh-female-t-connector-female/" TargetMode="External"/><Relationship Id="rId11" Type="http://schemas.openxmlformats.org/officeDocument/2006/relationships/hyperlink" Target="https://robocraze.com/products/rfid-rc522-mfrc?_pos=1&amp;_psq=rfid+rc&amp;_ss=e&amp;_v=1.0" TargetMode="External"/><Relationship Id="rId24" Type="http://schemas.openxmlformats.org/officeDocument/2006/relationships/hyperlink" Target="https://onlyscrews.in/products/m5-x-30mm-hex-allen-csk-high-tensile10-9-black-oxide-screw-dia-5mm-length-30mm-1" TargetMode="External"/><Relationship Id="rId5" Type="http://schemas.openxmlformats.org/officeDocument/2006/relationships/hyperlink" Target="https://robu.in/product/safeconnect-nylon-t-connector-pair-with-jst-male-in-line-power-adapter-cable/?gad_source=1&amp;gad_campaignid=17427802559&amp;gclid=CjwKCAjwxb7RBhA5EiwAQ-AAdO8wb09wEH7zHuqZmd7GPv1i04uDU7X7ZQTAGzEaY5BqXRVoo4HG7hoCg64QAvD_BwE" TargetMode="External"/><Relationship Id="rId15" Type="http://schemas.openxmlformats.org/officeDocument/2006/relationships/hyperlink" Target="https://robocraze.com/products/cytron-10a-5v-30v-dc-motor-driver-2-channels" TargetMode="External"/><Relationship Id="rId23" Type="http://schemas.openxmlformats.org/officeDocument/2006/relationships/hyperlink" Target="https://onlyscrews.in/products/m3-x-10mm-hex-allen-csk-high-tensile10-9-black-oxide-screw-dia-3mm-length-10mm" TargetMode="External"/><Relationship Id="rId28" Type="http://schemas.openxmlformats.org/officeDocument/2006/relationships/hyperlink" Target="https://onlyscrews.in/products/m3-x-25mm-phillips-csk-ss-304-screw" TargetMode="External"/><Relationship Id="rId10" Type="http://schemas.openxmlformats.org/officeDocument/2006/relationships/hyperlink" Target="https://robocraze.com/products/4-7k-resistor-pack-of-10?_pos=4&amp;_sid=6e7182c4c&amp;_ss=r" TargetMode="External"/><Relationship Id="rId19" Type="http://schemas.openxmlformats.org/officeDocument/2006/relationships/hyperlink" Target="https://robocraze.com/products/16x2-lcd-module-green?_pos=2&amp;_sid=d7554cae1&amp;_ss=r" TargetMode="External"/><Relationship Id="rId31" Type="http://schemas.openxmlformats.org/officeDocument/2006/relationships/table" Target="../tables/table1.xml"/><Relationship Id="rId4" Type="http://schemas.openxmlformats.org/officeDocument/2006/relationships/hyperlink" Target="https://onlyscrews.in/products/m5-nyloc-nuts-mild-steel-with-zinc-plating-dia-5mm" TargetMode="External"/><Relationship Id="rId9" Type="http://schemas.openxmlformats.org/officeDocument/2006/relationships/hyperlink" Target="https://robocraze.com/products/johnson-dc-geared-motor-12v-1000-rpm-grade-a" TargetMode="External"/><Relationship Id="rId14" Type="http://schemas.openxmlformats.org/officeDocument/2006/relationships/hyperlink" Target="https://robocraze.com/products/esp32-development-board?_pos=1&amp;_sid=abb9eb10e&amp;_ss=r" TargetMode="External"/><Relationship Id="rId22" Type="http://schemas.openxmlformats.org/officeDocument/2006/relationships/hyperlink" Target="https://amzn.in/d/0fPFYW2t" TargetMode="External"/><Relationship Id="rId27" Type="http://schemas.openxmlformats.org/officeDocument/2006/relationships/hyperlink" Target="https://onlyscrews.in/products/m3-x-30mm-hex-allen-socket-head-ss-304-screw-dia-3mm-length-30mm?_pos=1&amp;_psq=m3*30mm&amp;_ss=e&amp;_v=1.0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67058-DFA7-48A1-BDC7-59B650FD7332}">
  <dimension ref="A1:G69"/>
  <sheetViews>
    <sheetView tabSelected="1" workbookViewId="0">
      <selection activeCell="F25" sqref="F25"/>
    </sheetView>
  </sheetViews>
  <sheetFormatPr defaultRowHeight="14.4" x14ac:dyDescent="0.3"/>
  <cols>
    <col min="1" max="1" width="5.77734375" customWidth="1"/>
    <col min="2" max="3" width="35.77734375" customWidth="1"/>
    <col min="4" max="6" width="10.77734375" customWidth="1"/>
    <col min="7" max="7" width="100.77734375" customWidth="1"/>
    <col min="8" max="10" width="20.77734375" customWidth="1"/>
  </cols>
  <sheetData>
    <row r="1" spans="1:7" ht="28.8" x14ac:dyDescent="0.55000000000000004">
      <c r="A1" s="1" t="s">
        <v>0</v>
      </c>
      <c r="B1" s="1"/>
      <c r="C1" s="1"/>
      <c r="D1" s="1"/>
      <c r="E1" s="1"/>
    </row>
    <row r="2" spans="1:7" x14ac:dyDescent="0.3">
      <c r="A2" s="3" t="s">
        <v>57</v>
      </c>
      <c r="B2" s="3"/>
      <c r="C2" s="3"/>
      <c r="D2" s="3"/>
      <c r="E2" s="3"/>
      <c r="F2" s="3"/>
      <c r="G2" s="3"/>
    </row>
    <row r="4" spans="1:7" x14ac:dyDescent="0.3">
      <c r="A4" t="s">
        <v>1</v>
      </c>
      <c r="B4" t="s">
        <v>2</v>
      </c>
      <c r="C4" t="s">
        <v>46</v>
      </c>
      <c r="D4" t="s">
        <v>3</v>
      </c>
      <c r="E4" t="s">
        <v>4</v>
      </c>
      <c r="F4" t="s">
        <v>5</v>
      </c>
      <c r="G4" t="s">
        <v>6</v>
      </c>
    </row>
    <row r="5" spans="1:7" x14ac:dyDescent="0.3">
      <c r="F5">
        <f>Table1[[#This Row],[Price Per Unit]]*Table1[[#This Row],[Qty]]</f>
        <v>0</v>
      </c>
    </row>
    <row r="6" spans="1:7" x14ac:dyDescent="0.3">
      <c r="A6" s="2" t="s">
        <v>22</v>
      </c>
      <c r="B6" s="2"/>
      <c r="F6">
        <f>Table1[[#This Row],[Price Per Unit]]*Table1[[#This Row],[Qty]]</f>
        <v>0</v>
      </c>
    </row>
    <row r="7" spans="1:7" x14ac:dyDescent="0.3">
      <c r="F7">
        <f>Table1[[#This Row],[Price Per Unit]]*Table1[[#This Row],[Qty]]</f>
        <v>0</v>
      </c>
    </row>
    <row r="8" spans="1:7" x14ac:dyDescent="0.3">
      <c r="A8">
        <v>1</v>
      </c>
      <c r="B8" t="s">
        <v>7</v>
      </c>
      <c r="C8" s="6"/>
      <c r="E8">
        <v>1</v>
      </c>
      <c r="F8">
        <f>Table1[[#This Row],[Price Per Unit]]*Table1[[#This Row],[Qty]]</f>
        <v>0</v>
      </c>
      <c r="G8" t="s">
        <v>50</v>
      </c>
    </row>
    <row r="9" spans="1:7" x14ac:dyDescent="0.3">
      <c r="A9">
        <v>2</v>
      </c>
      <c r="B9" t="s">
        <v>8</v>
      </c>
      <c r="C9" s="6"/>
      <c r="E9">
        <v>1</v>
      </c>
      <c r="F9">
        <f>Table1[[#This Row],[Price Per Unit]]*Table1[[#This Row],[Qty]]</f>
        <v>0</v>
      </c>
      <c r="G9" t="s">
        <v>51</v>
      </c>
    </row>
    <row r="10" spans="1:7" x14ac:dyDescent="0.3">
      <c r="A10">
        <v>3</v>
      </c>
      <c r="B10" t="s">
        <v>9</v>
      </c>
      <c r="C10" s="6"/>
      <c r="E10">
        <v>2</v>
      </c>
      <c r="F10">
        <f>Table1[[#This Row],[Price Per Unit]]*Table1[[#This Row],[Qty]]</f>
        <v>0</v>
      </c>
      <c r="G10" t="s">
        <v>80</v>
      </c>
    </row>
    <row r="11" spans="1:7" x14ac:dyDescent="0.3">
      <c r="A11">
        <v>4</v>
      </c>
      <c r="B11" t="s">
        <v>10</v>
      </c>
      <c r="C11" s="6"/>
      <c r="E11">
        <v>1</v>
      </c>
      <c r="F11">
        <f>Table1[[#This Row],[Price Per Unit]]*Table1[[#This Row],[Qty]]</f>
        <v>0</v>
      </c>
    </row>
    <row r="12" spans="1:7" x14ac:dyDescent="0.3">
      <c r="A12">
        <v>5</v>
      </c>
      <c r="B12" t="s">
        <v>11</v>
      </c>
      <c r="C12" s="6"/>
      <c r="E12">
        <v>1</v>
      </c>
      <c r="F12">
        <f>Table1[[#This Row],[Price Per Unit]]*Table1[[#This Row],[Qty]]</f>
        <v>0</v>
      </c>
    </row>
    <row r="13" spans="1:7" x14ac:dyDescent="0.3">
      <c r="A13">
        <v>6</v>
      </c>
      <c r="B13" t="s">
        <v>12</v>
      </c>
      <c r="C13" s="6"/>
      <c r="E13">
        <v>1</v>
      </c>
      <c r="F13">
        <f>Table1[[#This Row],[Price Per Unit]]*Table1[[#This Row],[Qty]]</f>
        <v>0</v>
      </c>
    </row>
    <row r="14" spans="1:7" x14ac:dyDescent="0.3">
      <c r="A14">
        <v>7</v>
      </c>
      <c r="B14" t="s">
        <v>79</v>
      </c>
      <c r="C14" s="6"/>
      <c r="E14">
        <v>1</v>
      </c>
      <c r="F14">
        <f>Table1[[#This Row],[Price Per Unit]]*Table1[[#This Row],[Qty]]</f>
        <v>0</v>
      </c>
    </row>
    <row r="15" spans="1:7" x14ac:dyDescent="0.3">
      <c r="B15" t="s">
        <v>81</v>
      </c>
      <c r="C15" s="6"/>
      <c r="D15">
        <v>10000</v>
      </c>
      <c r="E15">
        <v>1</v>
      </c>
      <c r="F15">
        <f>Table1[[#This Row],[Price Per Unit]]*Table1[[#This Row],[Qty]]</f>
        <v>10000</v>
      </c>
    </row>
    <row r="16" spans="1:7" x14ac:dyDescent="0.3">
      <c r="F16">
        <f>Table1[[#This Row],[Price Per Unit]]*Table1[[#This Row],[Qty]]</f>
        <v>0</v>
      </c>
    </row>
    <row r="17" spans="1:7" x14ac:dyDescent="0.3">
      <c r="A17" s="2" t="s">
        <v>23</v>
      </c>
      <c r="B17" s="2"/>
      <c r="F17">
        <f>Table1[[#This Row],[Price Per Unit]]*Table1[[#This Row],[Qty]]</f>
        <v>0</v>
      </c>
    </row>
    <row r="18" spans="1:7" x14ac:dyDescent="0.3">
      <c r="F18">
        <f>Table1[[#This Row],[Price Per Unit]]*Table1[[#This Row],[Qty]]</f>
        <v>0</v>
      </c>
    </row>
    <row r="19" spans="1:7" x14ac:dyDescent="0.3">
      <c r="A19">
        <v>8</v>
      </c>
      <c r="B19" t="s">
        <v>13</v>
      </c>
      <c r="C19" s="6" t="s">
        <v>82</v>
      </c>
      <c r="D19">
        <v>1649</v>
      </c>
      <c r="E19">
        <v>1</v>
      </c>
      <c r="F19">
        <f>Table1[[#This Row],[Price Per Unit]]*Table1[[#This Row],[Qty]]</f>
        <v>1649</v>
      </c>
      <c r="G19" t="s">
        <v>52</v>
      </c>
    </row>
    <row r="20" spans="1:7" x14ac:dyDescent="0.3">
      <c r="A20">
        <v>9</v>
      </c>
      <c r="B20" t="s">
        <v>14</v>
      </c>
      <c r="C20" s="6" t="s">
        <v>83</v>
      </c>
      <c r="D20">
        <v>14</v>
      </c>
      <c r="E20">
        <v>1</v>
      </c>
      <c r="F20">
        <f>Table1[[#This Row],[Price Per Unit]]*Table1[[#This Row],[Qty]]</f>
        <v>14</v>
      </c>
      <c r="G20" t="s">
        <v>53</v>
      </c>
    </row>
    <row r="21" spans="1:7" x14ac:dyDescent="0.3">
      <c r="A21">
        <v>10</v>
      </c>
      <c r="B21" t="s">
        <v>29</v>
      </c>
      <c r="C21" s="6" t="s">
        <v>84</v>
      </c>
      <c r="D21">
        <v>1.5</v>
      </c>
      <c r="E21">
        <v>10</v>
      </c>
      <c r="F21">
        <f>Table1[[#This Row],[Price Per Unit]]*Table1[[#This Row],[Qty]]</f>
        <v>15</v>
      </c>
      <c r="G21" t="s">
        <v>44</v>
      </c>
    </row>
    <row r="22" spans="1:7" x14ac:dyDescent="0.3">
      <c r="A22">
        <v>11</v>
      </c>
      <c r="B22" t="s">
        <v>15</v>
      </c>
      <c r="C22" s="6" t="s">
        <v>85</v>
      </c>
      <c r="D22">
        <v>569</v>
      </c>
      <c r="E22">
        <v>4</v>
      </c>
      <c r="F22">
        <f>Table1[[#This Row],[Price Per Unit]]*Table1[[#This Row],[Qty]]</f>
        <v>2276</v>
      </c>
      <c r="G22" t="s">
        <v>54</v>
      </c>
    </row>
    <row r="23" spans="1:7" x14ac:dyDescent="0.3">
      <c r="A23">
        <v>12</v>
      </c>
      <c r="B23" t="s">
        <v>28</v>
      </c>
      <c r="C23" s="6" t="s">
        <v>86</v>
      </c>
      <c r="D23">
        <v>1.2</v>
      </c>
      <c r="E23">
        <v>10</v>
      </c>
      <c r="F23">
        <f>Table1[[#This Row],[Price Per Unit]]*Table1[[#This Row],[Qty]]</f>
        <v>12</v>
      </c>
      <c r="G23" t="s">
        <v>44</v>
      </c>
    </row>
    <row r="24" spans="1:7" x14ac:dyDescent="0.3">
      <c r="A24">
        <v>13</v>
      </c>
      <c r="B24" t="s">
        <v>16</v>
      </c>
      <c r="C24" s="6" t="s">
        <v>87</v>
      </c>
      <c r="D24">
        <v>89</v>
      </c>
      <c r="E24">
        <v>1</v>
      </c>
      <c r="F24">
        <f>Table1[[#This Row],[Price Per Unit]]*Table1[[#This Row],[Qty]]</f>
        <v>89</v>
      </c>
      <c r="G24" t="s">
        <v>55</v>
      </c>
    </row>
    <row r="25" spans="1:7" x14ac:dyDescent="0.3">
      <c r="A25">
        <v>14</v>
      </c>
      <c r="B25" t="s">
        <v>30</v>
      </c>
      <c r="C25" s="6" t="s">
        <v>88</v>
      </c>
      <c r="D25">
        <v>45</v>
      </c>
      <c r="E25">
        <v>1</v>
      </c>
      <c r="F25">
        <f>Table1[[#This Row],[Price Per Unit]]*Table1[[#This Row],[Qty]]</f>
        <v>45</v>
      </c>
      <c r="G25" t="s">
        <v>45</v>
      </c>
    </row>
    <row r="26" spans="1:7" x14ac:dyDescent="0.3">
      <c r="A26">
        <v>15</v>
      </c>
      <c r="B26" t="s">
        <v>27</v>
      </c>
      <c r="C26" s="6" t="s">
        <v>89</v>
      </c>
      <c r="D26">
        <v>236</v>
      </c>
      <c r="E26">
        <v>1</v>
      </c>
      <c r="F26">
        <f>Table1[[#This Row],[Price Per Unit]]*Table1[[#This Row],[Qty]]</f>
        <v>236</v>
      </c>
      <c r="G26" t="s">
        <v>58</v>
      </c>
    </row>
    <row r="27" spans="1:7" x14ac:dyDescent="0.3">
      <c r="A27">
        <v>16</v>
      </c>
      <c r="B27" t="s">
        <v>26</v>
      </c>
      <c r="C27" s="6" t="s">
        <v>90</v>
      </c>
      <c r="D27">
        <v>425</v>
      </c>
      <c r="E27">
        <v>1</v>
      </c>
      <c r="F27">
        <f>Table1[[#This Row],[Price Per Unit]]*Table1[[#This Row],[Qty]]</f>
        <v>425</v>
      </c>
      <c r="G27" t="s">
        <v>58</v>
      </c>
    </row>
    <row r="28" spans="1:7" x14ac:dyDescent="0.3">
      <c r="A28">
        <v>17</v>
      </c>
      <c r="B28" t="s">
        <v>17</v>
      </c>
      <c r="C28" s="6" t="s">
        <v>91</v>
      </c>
      <c r="D28">
        <v>2699</v>
      </c>
      <c r="E28">
        <v>1</v>
      </c>
      <c r="F28">
        <f>Table1[[#This Row],[Price Per Unit]]*Table1[[#This Row],[Qty]]</f>
        <v>2699</v>
      </c>
      <c r="G28" t="s">
        <v>59</v>
      </c>
    </row>
    <row r="29" spans="1:7" x14ac:dyDescent="0.3">
      <c r="A29">
        <v>18</v>
      </c>
      <c r="B29" t="s">
        <v>18</v>
      </c>
      <c r="C29" s="6" t="s">
        <v>92</v>
      </c>
      <c r="D29">
        <v>41</v>
      </c>
      <c r="E29">
        <v>1</v>
      </c>
      <c r="F29">
        <f>Table1[[#This Row],[Price Per Unit]]*Table1[[#This Row],[Qty]]</f>
        <v>41</v>
      </c>
      <c r="G29" t="s">
        <v>56</v>
      </c>
    </row>
    <row r="30" spans="1:7" x14ac:dyDescent="0.3">
      <c r="A30">
        <v>19</v>
      </c>
      <c r="B30" t="s">
        <v>19</v>
      </c>
      <c r="C30" s="6" t="s">
        <v>93</v>
      </c>
      <c r="D30">
        <v>89</v>
      </c>
      <c r="E30">
        <v>1</v>
      </c>
      <c r="F30">
        <f>Table1[[#This Row],[Price Per Unit]]*Table1[[#This Row],[Qty]]</f>
        <v>89</v>
      </c>
      <c r="G30" t="s">
        <v>60</v>
      </c>
    </row>
    <row r="31" spans="1:7" x14ac:dyDescent="0.3">
      <c r="A31">
        <v>20</v>
      </c>
      <c r="B31" t="s">
        <v>20</v>
      </c>
      <c r="C31" s="6" t="s">
        <v>94</v>
      </c>
      <c r="D31">
        <v>53</v>
      </c>
      <c r="E31">
        <v>1</v>
      </c>
      <c r="F31">
        <f>Table1[[#This Row],[Price Per Unit]]*Table1[[#This Row],[Qty]]</f>
        <v>53</v>
      </c>
      <c r="G31" t="s">
        <v>61</v>
      </c>
    </row>
    <row r="32" spans="1:7" x14ac:dyDescent="0.3">
      <c r="A32">
        <v>21</v>
      </c>
      <c r="B32" t="s">
        <v>21</v>
      </c>
      <c r="C32" s="6" t="s">
        <v>95</v>
      </c>
      <c r="D32">
        <v>165</v>
      </c>
      <c r="E32">
        <v>1</v>
      </c>
      <c r="F32">
        <f>Table1[[#This Row],[Price Per Unit]]*Table1[[#This Row],[Qty]]</f>
        <v>165</v>
      </c>
      <c r="G32" t="s">
        <v>49</v>
      </c>
    </row>
    <row r="33" spans="1:7" x14ac:dyDescent="0.3">
      <c r="A33">
        <v>22</v>
      </c>
      <c r="B33" t="s">
        <v>48</v>
      </c>
      <c r="C33" s="6" t="s">
        <v>96</v>
      </c>
      <c r="D33">
        <v>109</v>
      </c>
      <c r="E33">
        <v>1</v>
      </c>
      <c r="F33">
        <f>Table1[[#This Row],[Price Per Unit]]*Table1[[#This Row],[Qty]]</f>
        <v>109</v>
      </c>
      <c r="G33" t="s">
        <v>62</v>
      </c>
    </row>
    <row r="34" spans="1:7" x14ac:dyDescent="0.3">
      <c r="A34">
        <v>23</v>
      </c>
      <c r="B34" t="s">
        <v>47</v>
      </c>
      <c r="C34" s="6" t="s">
        <v>97</v>
      </c>
      <c r="D34">
        <v>99</v>
      </c>
      <c r="E34">
        <v>1</v>
      </c>
      <c r="F34">
        <f>Table1[[#This Row],[Price Per Unit]]*Table1[[#This Row],[Qty]]</f>
        <v>99</v>
      </c>
      <c r="G34" t="s">
        <v>63</v>
      </c>
    </row>
    <row r="35" spans="1:7" x14ac:dyDescent="0.3">
      <c r="A35">
        <v>24</v>
      </c>
      <c r="B35" t="s">
        <v>108</v>
      </c>
      <c r="C35" s="6" t="s">
        <v>110</v>
      </c>
      <c r="D35">
        <v>780</v>
      </c>
      <c r="E35">
        <v>1</v>
      </c>
      <c r="F35" s="7">
        <f>Table1[[#This Row],[Price Per Unit]]*Table1[[#This Row],[Qty]]</f>
        <v>780</v>
      </c>
      <c r="G35" t="s">
        <v>109</v>
      </c>
    </row>
    <row r="36" spans="1:7" x14ac:dyDescent="0.3">
      <c r="F36">
        <f>Table1[[#This Row],[Price Per Unit]]*Table1[[#This Row],[Qty]]</f>
        <v>0</v>
      </c>
    </row>
    <row r="37" spans="1:7" x14ac:dyDescent="0.3">
      <c r="A37" s="2" t="s">
        <v>24</v>
      </c>
      <c r="B37" s="2"/>
      <c r="F37">
        <f>Table1[[#This Row],[Price Per Unit]]*Table1[[#This Row],[Qty]]</f>
        <v>0</v>
      </c>
    </row>
    <row r="38" spans="1:7" x14ac:dyDescent="0.3">
      <c r="F38">
        <f>Table1[[#This Row],[Price Per Unit]]*Table1[[#This Row],[Qty]]</f>
        <v>0</v>
      </c>
    </row>
    <row r="39" spans="1:7" x14ac:dyDescent="0.3">
      <c r="A39">
        <v>25</v>
      </c>
      <c r="B39" t="s">
        <v>25</v>
      </c>
      <c r="C39" s="6" t="s">
        <v>98</v>
      </c>
      <c r="D39">
        <v>52.25</v>
      </c>
      <c r="E39">
        <v>4</v>
      </c>
      <c r="F39">
        <f>Table1[[#This Row],[Price Per Unit]]*Table1[[#This Row],[Qty]]</f>
        <v>209</v>
      </c>
      <c r="G39" t="s">
        <v>64</v>
      </c>
    </row>
    <row r="40" spans="1:7" x14ac:dyDescent="0.3">
      <c r="A40">
        <v>26</v>
      </c>
      <c r="B40" t="s">
        <v>31</v>
      </c>
      <c r="C40" s="6" t="s">
        <v>99</v>
      </c>
      <c r="D40">
        <v>899</v>
      </c>
      <c r="E40">
        <v>1</v>
      </c>
      <c r="F40">
        <f>Table1[[#This Row],[Price Per Unit]]*Table1[[#This Row],[Qty]]</f>
        <v>899</v>
      </c>
      <c r="G40" t="s">
        <v>65</v>
      </c>
    </row>
    <row r="41" spans="1:7" x14ac:dyDescent="0.3">
      <c r="A41">
        <v>27</v>
      </c>
      <c r="B41" t="s">
        <v>66</v>
      </c>
      <c r="C41" s="6" t="s">
        <v>100</v>
      </c>
      <c r="D41">
        <v>1.8</v>
      </c>
      <c r="E41">
        <v>60</v>
      </c>
      <c r="F41">
        <f>Table1[[#This Row],[Price Per Unit]]*Table1[[#This Row],[Qty]]</f>
        <v>108</v>
      </c>
      <c r="G41" t="s">
        <v>74</v>
      </c>
    </row>
    <row r="42" spans="1:7" x14ac:dyDescent="0.3">
      <c r="A42">
        <v>28</v>
      </c>
      <c r="B42" t="s">
        <v>67</v>
      </c>
      <c r="C42" s="6" t="s">
        <v>101</v>
      </c>
      <c r="D42">
        <v>2.8</v>
      </c>
      <c r="E42">
        <v>4</v>
      </c>
      <c r="F42">
        <f>Table1[[#This Row],[Price Per Unit]]*Table1[[#This Row],[Qty]]</f>
        <v>11.2</v>
      </c>
      <c r="G42" t="s">
        <v>75</v>
      </c>
    </row>
    <row r="43" spans="1:7" x14ac:dyDescent="0.3">
      <c r="A43">
        <v>29</v>
      </c>
      <c r="B43" t="s">
        <v>68</v>
      </c>
      <c r="C43" s="6" t="s">
        <v>102</v>
      </c>
      <c r="D43">
        <v>1.2</v>
      </c>
      <c r="E43">
        <v>4</v>
      </c>
      <c r="F43">
        <f>Table1[[#This Row],[Price Per Unit]]*Table1[[#This Row],[Qty]]</f>
        <v>4.8</v>
      </c>
      <c r="G43" t="s">
        <v>76</v>
      </c>
    </row>
    <row r="44" spans="1:7" x14ac:dyDescent="0.3">
      <c r="A44">
        <v>30</v>
      </c>
      <c r="B44" t="s">
        <v>69</v>
      </c>
      <c r="C44" s="6" t="s">
        <v>103</v>
      </c>
      <c r="D44">
        <v>3</v>
      </c>
      <c r="E44">
        <v>28</v>
      </c>
      <c r="F44">
        <f>Table1[[#This Row],[Price Per Unit]]*Table1[[#This Row],[Qty]]</f>
        <v>84</v>
      </c>
    </row>
    <row r="45" spans="1:7" x14ac:dyDescent="0.3">
      <c r="A45">
        <v>31</v>
      </c>
      <c r="B45" t="s">
        <v>70</v>
      </c>
      <c r="C45" s="6" t="s">
        <v>104</v>
      </c>
      <c r="D45">
        <v>0.9</v>
      </c>
      <c r="E45">
        <v>4</v>
      </c>
      <c r="F45">
        <f>Table1[[#This Row],[Price Per Unit]]*Table1[[#This Row],[Qty]]</f>
        <v>3.6</v>
      </c>
    </row>
    <row r="46" spans="1:7" x14ac:dyDescent="0.3">
      <c r="A46">
        <v>32</v>
      </c>
      <c r="B46" t="s">
        <v>71</v>
      </c>
      <c r="C46" s="6" t="s">
        <v>105</v>
      </c>
      <c r="D46">
        <v>6</v>
      </c>
      <c r="E46">
        <v>4</v>
      </c>
      <c r="F46">
        <f>Table1[[#This Row],[Price Per Unit]]*Table1[[#This Row],[Qty]]</f>
        <v>24</v>
      </c>
    </row>
    <row r="47" spans="1:7" x14ac:dyDescent="0.3">
      <c r="A47">
        <v>33</v>
      </c>
      <c r="B47" t="s">
        <v>72</v>
      </c>
      <c r="C47" s="6" t="s">
        <v>106</v>
      </c>
      <c r="D47">
        <v>2.4</v>
      </c>
      <c r="E47">
        <v>8</v>
      </c>
      <c r="F47">
        <f>Table1[[#This Row],[Price Per Unit]]*Table1[[#This Row],[Qty]]</f>
        <v>19.2</v>
      </c>
    </row>
    <row r="48" spans="1:7" x14ac:dyDescent="0.3">
      <c r="A48">
        <v>34</v>
      </c>
      <c r="B48" t="s">
        <v>73</v>
      </c>
      <c r="C48" s="6" t="s">
        <v>107</v>
      </c>
      <c r="D48">
        <v>2.4</v>
      </c>
      <c r="E48">
        <v>16</v>
      </c>
      <c r="F48">
        <f>Table1[[#This Row],[Price Per Unit]]*Table1[[#This Row],[Qty]]</f>
        <v>38.4</v>
      </c>
    </row>
    <row r="49" spans="1:7" x14ac:dyDescent="0.3">
      <c r="F49">
        <f>Table1[[#This Row],[Price Per Unit]]*Table1[[#This Row],[Qty]]</f>
        <v>0</v>
      </c>
    </row>
    <row r="50" spans="1:7" x14ac:dyDescent="0.3">
      <c r="A50" s="2" t="s">
        <v>39</v>
      </c>
      <c r="B50" s="2"/>
      <c r="C50" s="3" t="s">
        <v>33</v>
      </c>
      <c r="F50">
        <f>Table1[[#This Row],[Price Per Unit]]*Table1[[#This Row],[Qty]]</f>
        <v>0</v>
      </c>
    </row>
    <row r="51" spans="1:7" x14ac:dyDescent="0.3">
      <c r="F51">
        <f>Table1[[#This Row],[Price Per Unit]]*Table1[[#This Row],[Qty]]</f>
        <v>0</v>
      </c>
    </row>
    <row r="52" spans="1:7" x14ac:dyDescent="0.3">
      <c r="A52">
        <v>35</v>
      </c>
      <c r="B52" t="s">
        <v>32</v>
      </c>
      <c r="E52">
        <v>1</v>
      </c>
      <c r="F52">
        <f>Table1[[#This Row],[Price Per Unit]]*Table1[[#This Row],[Qty]]</f>
        <v>0</v>
      </c>
      <c r="G52" t="s">
        <v>77</v>
      </c>
    </row>
    <row r="53" spans="1:7" x14ac:dyDescent="0.3">
      <c r="A53">
        <v>36</v>
      </c>
      <c r="B53" t="s">
        <v>34</v>
      </c>
      <c r="E53">
        <v>1</v>
      </c>
      <c r="F53">
        <f>Table1[[#This Row],[Price Per Unit]]*Table1[[#This Row],[Qty]]</f>
        <v>0</v>
      </c>
    </row>
    <row r="54" spans="1:7" x14ac:dyDescent="0.3">
      <c r="A54">
        <v>37</v>
      </c>
      <c r="B54" t="s">
        <v>35</v>
      </c>
      <c r="E54">
        <v>1</v>
      </c>
      <c r="F54">
        <f>Table1[[#This Row],[Price Per Unit]]*Table1[[#This Row],[Qty]]</f>
        <v>0</v>
      </c>
    </row>
    <row r="55" spans="1:7" x14ac:dyDescent="0.3">
      <c r="A55">
        <v>38</v>
      </c>
      <c r="B55" t="s">
        <v>36</v>
      </c>
      <c r="E55">
        <v>1</v>
      </c>
      <c r="F55">
        <f>Table1[[#This Row],[Price Per Unit]]*Table1[[#This Row],[Qty]]</f>
        <v>0</v>
      </c>
    </row>
    <row r="56" spans="1:7" x14ac:dyDescent="0.3">
      <c r="A56">
        <v>39</v>
      </c>
      <c r="B56" t="s">
        <v>37</v>
      </c>
      <c r="F56">
        <f>Table1[[#This Row],[Price Per Unit]]*Table1[[#This Row],[Qty]]</f>
        <v>0</v>
      </c>
    </row>
    <row r="57" spans="1:7" x14ac:dyDescent="0.3">
      <c r="A57">
        <v>40</v>
      </c>
      <c r="B57" t="s">
        <v>38</v>
      </c>
      <c r="F57">
        <f>Table1[[#This Row],[Price Per Unit]]*Table1[[#This Row],[Qty]]</f>
        <v>0</v>
      </c>
    </row>
    <row r="58" spans="1:7" x14ac:dyDescent="0.3">
      <c r="A58">
        <v>41</v>
      </c>
      <c r="B58" t="s">
        <v>40</v>
      </c>
      <c r="F58">
        <f>Table1[[#This Row],[Price Per Unit]]*Table1[[#This Row],[Qty]]</f>
        <v>0</v>
      </c>
    </row>
    <row r="59" spans="1:7" x14ac:dyDescent="0.3">
      <c r="A59">
        <v>42</v>
      </c>
      <c r="B59" t="s">
        <v>41</v>
      </c>
      <c r="F59">
        <f>Table1[[#This Row],[Price Per Unit]]*Table1[[#This Row],[Qty]]</f>
        <v>0</v>
      </c>
    </row>
    <row r="60" spans="1:7" x14ac:dyDescent="0.3">
      <c r="A60">
        <v>43</v>
      </c>
      <c r="B60" t="s">
        <v>78</v>
      </c>
      <c r="F60">
        <f>Table1[[#This Row],[Price Per Unit]]*Table1[[#This Row],[Qty]]</f>
        <v>0</v>
      </c>
    </row>
    <row r="61" spans="1:7" x14ac:dyDescent="0.3">
      <c r="F61">
        <f>Table1[[#This Row],[Price Per Unit]]*Table1[[#This Row],[Qty]]</f>
        <v>0</v>
      </c>
    </row>
    <row r="67" spans="3:5" ht="15" thickBot="1" x14ac:dyDescent="0.35"/>
    <row r="68" spans="3:5" ht="34.799999999999997" thickTop="1" thickBot="1" x14ac:dyDescent="0.7">
      <c r="C68" s="4" t="s">
        <v>42</v>
      </c>
      <c r="D68" s="5" t="s">
        <v>43</v>
      </c>
      <c r="E68" s="5">
        <f>SUM(F5:F60)</f>
        <v>20197.2</v>
      </c>
    </row>
    <row r="69" spans="3:5" ht="15" thickTop="1" x14ac:dyDescent="0.3"/>
  </sheetData>
  <hyperlinks>
    <hyperlink ref="C34" r:id="rId1" xr:uid="{FF76149A-B150-4949-B168-6BAF97BFFE4E}"/>
    <hyperlink ref="C19:C33" r:id="rId2" display="https://robu.in/product/safeconnect-nylon-t-connector-pair-with-jst-male-in-line-power-adapter-cable/?gad_source=1&amp;gad_campaignid=17427802559&amp;gclid=CjwKCAjwxb7RBhA5EiwAQ-AAdO8wb09wEH7zHuqZmd7GPv1i04uDU7X7ZQTAGzEaY5BqXRVoo4HG7hoCg64QAvD_BwE" xr:uid="{B0E9778B-74D0-4233-BEE8-99BDD0A3C40E}"/>
    <hyperlink ref="C39:C42" r:id="rId3" display="https://robu.in/product/safeconnect-nylon-t-connector-pair-with-jst-male-in-line-power-adapter-cable/?gad_source=1&amp;gad_campaignid=17427802559&amp;gclid=CjwKCAjwxb7RBhA5EiwAQ-AAdO8wb09wEH7zHuqZmd7GPv1i04uDU7X7ZQTAGzEaY5BqXRVoo4HG7hoCg64QAvD_BwE" xr:uid="{239370C6-47C5-4264-80A6-272703067E52}"/>
    <hyperlink ref="C43" r:id="rId4" xr:uid="{9635CA22-98AD-4001-A8B9-50456DF9DF34}"/>
    <hyperlink ref="C44:C48" r:id="rId5" display="https://robu.in/product/safeconnect-nylon-t-connector-pair-with-jst-male-in-line-power-adapter-cable/?gad_source=1&amp;gad_campaignid=17427802559&amp;gclid=CjwKCAjwxb7RBhA5EiwAQ-AAdO8wb09wEH7zHuqZmd7GPv1i04uDU7X7ZQTAGzEaY5BqXRVoo4HG7hoCg64QAvD_BwE" xr:uid="{032B4E06-A4A9-4E0E-998D-6059C74A7F7A}"/>
    <hyperlink ref="C19" r:id="rId6" xr:uid="{3D124B78-F05D-465E-B5B8-82FED00E46C0}"/>
    <hyperlink ref="C20" r:id="rId7" xr:uid="{AC378C38-32A3-495E-A05F-FA6AEDB3F71D}"/>
    <hyperlink ref="C21" r:id="rId8" xr:uid="{0E09E88B-E5A7-4981-872D-F38318DB58ED}"/>
    <hyperlink ref="C22" r:id="rId9" xr:uid="{CC80AA4C-C654-4BEB-B5A6-E06753183ACF}"/>
    <hyperlink ref="C23" r:id="rId10" xr:uid="{5018D4DC-BA0D-46D3-AE80-E771D710D9F0}"/>
    <hyperlink ref="C24" r:id="rId11" xr:uid="{C3128C12-4E7F-4340-A697-6F20070DCE92}"/>
    <hyperlink ref="C25" r:id="rId12" xr:uid="{3BA22122-B421-4210-A985-8007B560046F}"/>
    <hyperlink ref="C26" r:id="rId13" xr:uid="{4C32594A-BEF2-4B67-9B82-1AE30F599EEA}"/>
    <hyperlink ref="C27" r:id="rId14" xr:uid="{DAF2467A-F5B8-4F20-BB13-7507FFCBD040}"/>
    <hyperlink ref="C28" r:id="rId15" xr:uid="{36F27605-7A1A-4C45-AC8C-0E465F030F22}"/>
    <hyperlink ref="C29" r:id="rId16" xr:uid="{05DFD428-0905-4AE0-874D-8283992B3937}"/>
    <hyperlink ref="C30" r:id="rId17" xr:uid="{BC310CE5-A290-4CBB-9268-E7B1F13D188A}"/>
    <hyperlink ref="C31" r:id="rId18" xr:uid="{34E34B4C-20AE-4AD4-AC77-A59BE8CE4FC5}"/>
    <hyperlink ref="C32" r:id="rId19" xr:uid="{21013400-BB8E-425D-8CEB-C29F8540938A}"/>
    <hyperlink ref="C33" r:id="rId20" xr:uid="{D7515758-9957-4886-AF4E-916335DA7FC7}"/>
    <hyperlink ref="C39" r:id="rId21" xr:uid="{CD853B30-2B0D-4030-9EE0-F9909EA0CA1E}"/>
    <hyperlink ref="C40" r:id="rId22" xr:uid="{84E166CC-0C59-4859-9311-2469BE899FA9}"/>
    <hyperlink ref="C41" r:id="rId23" xr:uid="{5D5DB089-5061-45AB-A473-D98CB03033A6}"/>
    <hyperlink ref="C42" r:id="rId24" xr:uid="{DCE05350-09BF-41B7-9A00-DC977B1E6056}"/>
    <hyperlink ref="C44" r:id="rId25" xr:uid="{F452C8C3-7024-4DF0-873A-C0C8AB32D7C8}"/>
    <hyperlink ref="C45" r:id="rId26" xr:uid="{6A095764-CFFA-40CE-B2CE-74633B278652}"/>
    <hyperlink ref="C46" r:id="rId27" xr:uid="{26F0DD70-91FB-48D2-BCAF-AC0271A0CB17}"/>
    <hyperlink ref="C47" r:id="rId28" xr:uid="{762A1447-CFAF-4D15-98DD-F56064145519}"/>
    <hyperlink ref="C48" r:id="rId29" xr:uid="{0307FC61-206C-4C38-81FD-F5F4FCD57B9F}"/>
  </hyperlinks>
  <pageMargins left="0.7" right="0.7" top="0.75" bottom="0.75" header="0.3" footer="0.3"/>
  <pageSetup orientation="portrait" horizontalDpi="4294967293" verticalDpi="4294967293" r:id="rId30"/>
  <tableParts count="1">
    <tablePart r:id="rId3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LittleHelperBOM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SHLOK ALVA</dc:creator>
  <cp:lastModifiedBy>SHLOK ALVA</cp:lastModifiedBy>
  <dcterms:created xsi:type="dcterms:W3CDTF">2026-06-15T11:32:15Z</dcterms:created>
  <dcterms:modified xsi:type="dcterms:W3CDTF">2026-06-15T15:44:55Z</dcterms:modified>
</cp:coreProperties>
</file>